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4.04\var\www\inafo-pharma\storage\app\import\"/>
    </mc:Choice>
  </mc:AlternateContent>
  <xr:revisionPtr revIDLastSave="0" documentId="13_ncr:1_{192C11CA-272F-4C22-93C9-C0BA4261B0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u_Ho_So_SanPh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2" i="1"/>
  <c r="H2" i="1"/>
  <c r="H3" i="1"/>
  <c r="H4" i="1"/>
  <c r="H5" i="1"/>
  <c r="H6" i="1"/>
  <c r="H7" i="1"/>
  <c r="H8" i="1"/>
  <c r="H9" i="1"/>
  <c r="H10" i="1"/>
  <c r="H11" i="1"/>
  <c r="H12" i="1"/>
  <c r="H13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2" i="1"/>
  <c r="H43" i="1"/>
  <c r="H41" i="1"/>
</calcChain>
</file>

<file path=xl/sharedStrings.xml><?xml version="1.0" encoding="utf-8"?>
<sst xmlns="http://schemas.openxmlformats.org/spreadsheetml/2006/main" count="442" uniqueCount="289">
  <si>
    <t>STT</t>
  </si>
  <si>
    <t>Số thứ tự theo thông tư</t>
  </si>
  <si>
    <t>Phân nhóm theo thông tư</t>
  </si>
  <si>
    <t>Tên hoạt chất</t>
  </si>
  <si>
    <t>Nồng độ - Hàm lượng</t>
  </si>
  <si>
    <t>Tên thuốc</t>
  </si>
  <si>
    <t>Dạng bào chế</t>
  </si>
  <si>
    <t>Đường dùng</t>
  </si>
  <si>
    <t>Đơn vị tính</t>
  </si>
  <si>
    <t>Quy cách đóng gói</t>
  </si>
  <si>
    <t>Giấy phép lưu hành sản phẩm</t>
  </si>
  <si>
    <t>Hạn dùng</t>
  </si>
  <si>
    <t>Cơ sở đăng ký</t>
  </si>
  <si>
    <t>Cơ sở sản xuất</t>
  </si>
  <si>
    <t>Nước sản xuất</t>
  </si>
  <si>
    <t>Hiệu lực Visa</t>
  </si>
  <si>
    <t>GMP Cơ sở sản xuất</t>
  </si>
  <si>
    <t>Giá kê khai</t>
  </si>
  <si>
    <t>Link Hồ sơ sản phẩm</t>
  </si>
  <si>
    <t>Hoạt chất kiểm soát đặc biệt</t>
  </si>
  <si>
    <t>Ghi chú</t>
  </si>
  <si>
    <t>Meloxicam</t>
  </si>
  <si>
    <t>15mg</t>
  </si>
  <si>
    <t>Trosicam 15mg</t>
  </si>
  <si>
    <t>Viên</t>
  </si>
  <si>
    <t>Hộp 3 vỉ x 10 viên</t>
  </si>
  <si>
    <t>VN-20104-16</t>
  </si>
  <si>
    <t>36 tháng</t>
  </si>
  <si>
    <t>80mg + 12.5mg</t>
  </si>
  <si>
    <t>Công ty cổ phần dược phẩm Đạt Vi Phú</t>
  </si>
  <si>
    <t>Việt Nam</t>
  </si>
  <si>
    <t>Viên hoà tan nhanh, uống</t>
  </si>
  <si>
    <t>Piroxicam</t>
  </si>
  <si>
    <t>20mg</t>
  </si>
  <si>
    <t>Reumoxican</t>
  </si>
  <si>
    <t>Hộp 6 vỉ x 10 viên</t>
  </si>
  <si>
    <t>560110011523</t>
  </si>
  <si>
    <t>Pregabalin</t>
  </si>
  <si>
    <t>25mg</t>
  </si>
  <si>
    <t>Pregabakern 25mg</t>
  </si>
  <si>
    <t>Viên nang, uống</t>
  </si>
  <si>
    <t>Hộp 4 vỉ x 14 viên</t>
  </si>
  <si>
    <t>VN-22830-21</t>
  </si>
  <si>
    <t>Ibuprofen</t>
  </si>
  <si>
    <t>20mg/ml</t>
  </si>
  <si>
    <t>Goldridons</t>
  </si>
  <si>
    <t xml:space="preserve"> Dung dịch/Hỗn dịch/ Nhũ dịch, uống</t>
  </si>
  <si>
    <t>Hộp</t>
  </si>
  <si>
    <t>Hộp 1 chai 100ml</t>
  </si>
  <si>
    <t>560100424523</t>
  </si>
  <si>
    <t>Telmisartan +
Hydrochlothiazid</t>
  </si>
  <si>
    <t>Anvo-Telmisartan HCTZ 80/12,5mg</t>
  </si>
  <si>
    <t xml:space="preserve">	Viên, uống</t>
  </si>
  <si>
    <t>Hộp 2 vỉ x 7 viên</t>
  </si>
  <si>
    <t>840110178923</t>
  </si>
  <si>
    <t>Alfuzosin</t>
  </si>
  <si>
    <t>2,5mg</t>
  </si>
  <si>
    <t>Gourcuff-2,5</t>
  </si>
  <si>
    <t>Hộp 10 vỉ x 10 viên</t>
  </si>
  <si>
    <t xml:space="preserve">	4,200</t>
  </si>
  <si>
    <t>Methotrexat</t>
  </si>
  <si>
    <t>Unitrexates</t>
  </si>
  <si>
    <t>880114434123</t>
  </si>
  <si>
    <t xml:space="preserve">Terzence-2,5 </t>
  </si>
  <si>
    <t>893114116224</t>
  </si>
  <si>
    <t>5mg</t>
  </si>
  <si>
    <t xml:space="preserve">Terzence-5  </t>
  </si>
  <si>
    <t xml:space="preserve">893114116324 </t>
  </si>
  <si>
    <t>Metronidazol</t>
  </si>
  <si>
    <t>200mg; 60ml</t>
  </si>
  <si>
    <t>Monizol</t>
  </si>
  <si>
    <t>Chai</t>
  </si>
  <si>
    <t>Hộp 1 chai 60ml</t>
  </si>
  <si>
    <t>VN-22077-19</t>
  </si>
  <si>
    <t>20mg/ml; 100ml</t>
  </si>
  <si>
    <t>Unafen</t>
  </si>
  <si>
    <t>VN-21873-19</t>
  </si>
  <si>
    <t>Irbesartan + 
hydroclorothiazide</t>
  </si>
  <si>
    <t>300mg + 25mg</t>
  </si>
  <si>
    <t>IRBEZYD H 300/25</t>
  </si>
  <si>
    <t>Viên, uống</t>
  </si>
  <si>
    <t>VN-15750-12</t>
  </si>
  <si>
    <t>Metronidazol + Chloramphenicol + Nystatin + Dexamethasone acetate</t>
  </si>
  <si>
    <t>225mg + 100mg+75mg+0,5mg</t>
  </si>
  <si>
    <t>GENTUSI</t>
  </si>
  <si>
    <t>Đặt âm đạo</t>
  </si>
  <si>
    <t>Viên đặt âm đạo</t>
  </si>
  <si>
    <t>Hộp 2 vỉ x 5 viên</t>
  </si>
  <si>
    <t>VN-16635-13</t>
  </si>
  <si>
    <t>24  tháng</t>
  </si>
  <si>
    <t>Cefmetazol</t>
  </si>
  <si>
    <t>2g</t>
  </si>
  <si>
    <t>Cefmetazol 2g</t>
  </si>
  <si>
    <t>Thuốc bột pha tiêm, Tiêm</t>
  </si>
  <si>
    <t>Lọ</t>
  </si>
  <si>
    <t>Hộp 01 Lọ x 2g; Hộp 10 Lọ x 2g</t>
  </si>
  <si>
    <t>893110229423</t>
  </si>
  <si>
    <t>24 tháng</t>
  </si>
  <si>
    <t xml:space="preserve">Dapagliflozin </t>
  </si>
  <si>
    <t>5 mg</t>
  </si>
  <si>
    <t>Forbizin 5mg</t>
  </si>
  <si>
    <t>893110208323</t>
  </si>
  <si>
    <t>36 Tháng</t>
  </si>
  <si>
    <t>Amlodipine- Atorvastatin</t>
  </si>
  <si>
    <t>5mg + 20mg</t>
  </si>
  <si>
    <t>Toduet</t>
  </si>
  <si>
    <t>893110367524</t>
  </si>
  <si>
    <t>Ambroxol</t>
  </si>
  <si>
    <t>30mg/5ml; 50ml</t>
  </si>
  <si>
    <t>Justone 30 Mg/5 ml</t>
  </si>
  <si>
    <t>Hộp 1 chai x 50ml</t>
  </si>
  <si>
    <t>893100153400</t>
  </si>
  <si>
    <t>30 tháng</t>
  </si>
  <si>
    <t>Salbutamol Sulfat</t>
  </si>
  <si>
    <t>2mg/5ml; 150ml</t>
  </si>
  <si>
    <t>Sallet</t>
  </si>
  <si>
    <t xml:space="preserve"> Lọ</t>
  </si>
  <si>
    <t>Hộp 1 lọ 150ml</t>
  </si>
  <si>
    <t>VD-34495-20</t>
  </si>
  <si>
    <t>Amoxicilin + Acid Clavulanic</t>
  </si>
  <si>
    <t>(400mg + 57mg); 2,1g</t>
  </si>
  <si>
    <t>Midantin 400/57</t>
  </si>
  <si>
    <t>Bột pha hỗn dịch,  uống</t>
  </si>
  <si>
    <t>Gói</t>
  </si>
  <si>
    <t>Hộp 12 gói x 2,1g</t>
  </si>
  <si>
    <t>VD-35204-21</t>
  </si>
  <si>
    <t>Calci carbonat + Vitamin D3</t>
  </si>
  <si>
    <t>(500mg + 400 UI); 2.5mg</t>
  </si>
  <si>
    <t>Centocalcium vitamin D</t>
  </si>
  <si>
    <t>Hộp 20 gói x 2,5g</t>
  </si>
  <si>
    <t>VD-22498-15</t>
  </si>
  <si>
    <t>Bismuth subsalicylat</t>
  </si>
  <si>
    <t>525,6 mg; 30 ml</t>
  </si>
  <si>
    <t>Lubicid Suspension</t>
  </si>
  <si>
    <t>Hộp 10 gói, 20 gói x 30 ml</t>
  </si>
  <si>
    <t>VD-33480-19</t>
  </si>
  <si>
    <t>Piracetam</t>
  </si>
  <si>
    <t>2.400mg; 7,2ml</t>
  </si>
  <si>
    <t>Pitamsol</t>
  </si>
  <si>
    <t>Hộp 30 gói</t>
  </si>
  <si>
    <t>893110138900</t>
  </si>
  <si>
    <t>2.400mg; 24ml</t>
  </si>
  <si>
    <t>Famotidin</t>
  </si>
  <si>
    <t>20mg; 2ml</t>
  </si>
  <si>
    <t>Famotidin 20mg/2ml</t>
  </si>
  <si>
    <t>Thuốc tiêm, Tiêm</t>
  </si>
  <si>
    <t>ống</t>
  </si>
  <si>
    <t>Hộp 10 ống x2ml Hộp 20 ống x2ml Hộp 50 ống x2ml</t>
  </si>
  <si>
    <t>893110150900</t>
  </si>
  <si>
    <t xml:space="preserve">Noradrenalin </t>
  </si>
  <si>
    <t>8mg/8ml</t>
  </si>
  <si>
    <t>Noradrenalin 8mg/8ml</t>
  </si>
  <si>
    <t xml:space="preserve">Hộp 2 vỉ x 5 ống x 8ml, hộp 10 vỉ x 5 ống x 8ml </t>
  </si>
  <si>
    <t>893110251024</t>
  </si>
  <si>
    <t>Noradrenalin</t>
  </si>
  <si>
    <t>5mg/5ml</t>
  </si>
  <si>
    <t>Noradrenalin 5mg/5ml</t>
  </si>
  <si>
    <t xml:space="preserve">Hộp 2 vỉ x 5 ống x 5ml, hộp 10 vỉ x 5 ống x 5ml </t>
  </si>
  <si>
    <t>893110250924</t>
  </si>
  <si>
    <t>600mg; 5ml</t>
  </si>
  <si>
    <t>Saihasin</t>
  </si>
  <si>
    <t>Ống</t>
  </si>
  <si>
    <t>Hộp 4 vỉ x 5 ống 5 ml</t>
  </si>
  <si>
    <t xml:space="preserve">VD-25526-16 </t>
  </si>
  <si>
    <t>Magnesi hydroxyd + nhôm hydroxyd + simethicon</t>
  </si>
  <si>
    <t>200mg;200mg;25mg</t>
  </si>
  <si>
    <t xml:space="preserve">Simegaz Chew </t>
  </si>
  <si>
    <t>Viên nhai, uống</t>
  </si>
  <si>
    <t xml:space="preserve">Hộp 1 túi x 2 vỉ x 12
viên </t>
  </si>
  <si>
    <t>893100942424</t>
  </si>
  <si>
    <t>Công ty cổ phần dược phẩm OPV</t>
  </si>
  <si>
    <t>100mg/ml; 60ml</t>
  </si>
  <si>
    <t>Ceretrop 10%</t>
  </si>
  <si>
    <t>Chai/lọ</t>
  </si>
  <si>
    <t>Hộp 1 
chai 60ml</t>
  </si>
  <si>
    <t>893110707424</t>
  </si>
  <si>
    <t>Dydrogesteron</t>
  </si>
  <si>
    <t>10mg</t>
  </si>
  <si>
    <t>Mdlaydi</t>
  </si>
  <si>
    <t>Hộp 2 vỉ x 10 viên</t>
  </si>
  <si>
    <t>893110173724+J18</t>
  </si>
  <si>
    <t xml:space="preserve"> Dapagliflozin</t>
  </si>
  <si>
    <t>10 mg</t>
  </si>
  <si>
    <t>Zandyrine 10 mg</t>
  </si>
  <si>
    <t>893110223823</t>
  </si>
  <si>
    <t>Ambroxol + Clenbuterol</t>
  </si>
  <si>
    <t>(7,5mg + 0,005mg) ; 5ml</t>
  </si>
  <si>
    <t>Amburol 7.5</t>
  </si>
  <si>
    <t>Hộp 01 chai x 70ml (chai nhựa HDPE)</t>
  </si>
  <si>
    <t>893110292324</t>
  </si>
  <si>
    <t xml:space="preserve">Cefdinir </t>
  </si>
  <si>
    <t>(125mg/5ml); 70ml</t>
  </si>
  <si>
    <t>Sanidir</t>
  </si>
  <si>
    <t>Bột pha hỗn dịch, uống</t>
  </si>
  <si>
    <t>Hộp 1 lọ x 70ml</t>
  </si>
  <si>
    <t>Cefoperazon</t>
  </si>
  <si>
    <t>0,5g</t>
  </si>
  <si>
    <t>Cefoperazone 0,5g</t>
  </si>
  <si>
    <t>Bột pha tiêm, Tiêm</t>
  </si>
  <si>
    <t>lọ</t>
  </si>
  <si>
    <t>Hộp 01 lọ, 10 lọ x 0,5g,  Thuốc bột pha tiêm, tiêm</t>
  </si>
  <si>
    <t xml:space="preserve">893110387224
</t>
  </si>
  <si>
    <t xml:space="preserve">Cefpirom </t>
  </si>
  <si>
    <t>500mg</t>
  </si>
  <si>
    <t>CEFPIROM TFI 500 MG</t>
  </si>
  <si>
    <t>Hộp 1 lọ, 10 lọ</t>
  </si>
  <si>
    <t>893110132123</t>
  </si>
  <si>
    <t>Gadoteric acid</t>
  </si>
  <si>
    <t>2,7932g tương đương 5mmol/10ml</t>
  </si>
  <si>
    <t>Ecogaric 0,5 mmol/ml</t>
  </si>
  <si>
    <t>Hộp 1 Lọ x 10 ml</t>
  </si>
  <si>
    <t>893110266724</t>
  </si>
  <si>
    <t>Nimodipin</t>
  </si>
  <si>
    <t>10mg/50ml</t>
  </si>
  <si>
    <t>Nereid</t>
  </si>
  <si>
    <t>Hộp 1 chai 50ml</t>
  </si>
  <si>
    <t>VD-35660-22</t>
  </si>
  <si>
    <t>Lisinopril+ hydrochlorothiazid</t>
  </si>
  <si>
    <t>10mg + 12,5mg</t>
  </si>
  <si>
    <t>AUROLIZA-H</t>
  </si>
  <si>
    <t>viên</t>
  </si>
  <si>
    <t>Hộp 2 vỉ x 14 viên</t>
  </si>
  <si>
    <t xml:space="preserve">890110984424
</t>
  </si>
  <si>
    <t xml:space="preserve"> Betahistin</t>
  </si>
  <si>
    <t>24mg</t>
  </si>
  <si>
    <t>Betagen 24</t>
  </si>
  <si>
    <t>Hộp 03 vỉ  x 14 viên</t>
  </si>
  <si>
    <t xml:space="preserve"> VN-23075-22</t>
  </si>
  <si>
    <t xml:space="preserve">Nhôm hydroxyd; Magnesi hydroxyd </t>
  </si>
  <si>
    <t>460mg;
400mg</t>
  </si>
  <si>
    <t>Maracas</t>
  </si>
  <si>
    <t>gói</t>
  </si>
  <si>
    <t>Hộp 20 gói x 4,3ml</t>
  </si>
  <si>
    <t>893100952125</t>
  </si>
  <si>
    <t xml:space="preserve">Bromhexine
hydrochloride </t>
  </si>
  <si>
    <t>12mg</t>
  </si>
  <si>
    <t>Maxinum
12mg Tablets</t>
  </si>
  <si>
    <t>Viên nén</t>
  </si>
  <si>
    <t>594100331325</t>
  </si>
  <si>
    <t>Simethicon</t>
  </si>
  <si>
    <t>275,5mg</t>
  </si>
  <si>
    <t>Ozdectin</t>
  </si>
  <si>
    <t>Viên nang mềm</t>
  </si>
  <si>
    <t>893100952824</t>
  </si>
  <si>
    <t>Đặt</t>
  </si>
  <si>
    <t xml:space="preserve">
Thụy Sĩ</t>
  </si>
  <si>
    <t xml:space="preserve">
Tây Ban Nha</t>
  </si>
  <si>
    <t>Portugal</t>
  </si>
  <si>
    <t>India</t>
  </si>
  <si>
    <t>Moldova</t>
  </si>
  <si>
    <t>Romania</t>
  </si>
  <si>
    <t>890110351525</t>
  </si>
  <si>
    <t>Maxim Pharmaceuticals Pvt. Ltd</t>
  </si>
  <si>
    <t>Spain</t>
  </si>
  <si>
    <t>Hàn Quốc</t>
  </si>
  <si>
    <t>Alpex Pharma SA</t>
  </si>
  <si>
    <t>Farmalabor – Produtos Farmacêuticos, S.A</t>
  </si>
  <si>
    <t>Kern Pharma S.L</t>
  </si>
  <si>
    <t>Farmalabor-Produtos Farmacêuticos, S.A (Fab.)</t>
  </si>
  <si>
    <t>Laboratorios Liconsa, S.A</t>
  </si>
  <si>
    <t>Korea United Pharm.Inc</t>
  </si>
  <si>
    <t xml:space="preserve">Công ty CPDP Đạt Vi Phú </t>
  </si>
  <si>
    <t xml:space="preserve">Gracure Pharmaceuticals Ltd </t>
  </si>
  <si>
    <t>Zydus Lifesciences
Limited</t>
  </si>
  <si>
    <t>Farmaprim Ltd</t>
  </si>
  <si>
    <t xml:space="preserve">Chi nhánh 3 - Công ty Cổ phần Dược phẩm Imexpharm tại Bình Dương </t>
  </si>
  <si>
    <t xml:space="preserve">Công ty cổ phần Dược- Trang thiết bị y tế Bình Định
(BIDIPHAR) </t>
  </si>
  <si>
    <t>Công ty CPDP Trường Thọ</t>
  </si>
  <si>
    <t>Công ty Cổ phần Medcen</t>
  </si>
  <si>
    <t>Công ty cổ phần Dược VTYT Hà Nam</t>
  </si>
  <si>
    <t>Công ty cổ phần dược phẩm Minh Dân</t>
  </si>
  <si>
    <t xml:space="preserve">Công ty Cổ phần Dược phẩm OPV </t>
  </si>
  <si>
    <t xml:space="preserve">Công ty cổ phần dược phẩm Me Di Sun </t>
  </si>
  <si>
    <t>Công ty CP Dược phẩm Agimexpharm</t>
  </si>
  <si>
    <t>Công ty cổ phần Dược vật tư y tế Hải Dương</t>
  </si>
  <si>
    <t>Công ty cổ phần dược phẩm Vĩnh Phúc</t>
  </si>
  <si>
    <t xml:space="preserve">Công ty cổ phần dược phẩm Hà Tây </t>
  </si>
  <si>
    <t>Công ty cổ phần dược phẩm OP</t>
  </si>
  <si>
    <t>Công ty Cổ phần Dược Trung Ương Mediplante</t>
  </si>
  <si>
    <t xml:space="preserve">Công ty TNHH DRP Inter </t>
  </si>
  <si>
    <t>Công ty Liên doanh Meyer-BPC</t>
  </si>
  <si>
    <t xml:space="preserve">Chi nhánh 3 - CTCPDP Imexpharm tại Bình Dương </t>
  </si>
  <si>
    <t>Công ty Cổ phần Trust Farma Quốc tế</t>
  </si>
  <si>
    <t>Công ty CPDP An Thiên</t>
  </si>
  <si>
    <t>Aurobindo</t>
  </si>
  <si>
    <t>Gpax Pharmaceuticals
Private Limited</t>
  </si>
  <si>
    <t>Công ty TNHH Dược phẩm Hoa Linh Hà Nam</t>
  </si>
  <si>
    <t>Arena Group S.A</t>
  </si>
  <si>
    <t>893110660724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</si>
</sst>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3"/>
      <name val="Times New Roman"/>
      <family val="1"/>
    </font>
    <font>
      <sz val="12"/>
      <name val="VNI-Times"/>
    </font>
    <font>
      <b/>
      <sz val="13"/>
      <name val="Times New Roman"/>
      <family val="1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2"/>
    </font>
    <font>
      <sz val="10.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2A4D69"/>
        <bgColor rgb="FF2A4D6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</borders>
  <cellStyleXfs count="7">
    <xf numFmtId="0" fontId="0" fillId="0" borderId="0"/>
    <xf numFmtId="0" fontId="3" fillId="0" borderId="0"/>
    <xf numFmtId="0" fontId="5" fillId="0" borderId="0"/>
    <xf numFmtId="164" fontId="3" fillId="0" borderId="0" applyFont="0" applyFill="0" applyBorder="0" applyAlignment="0" applyProtection="0"/>
    <xf numFmtId="0" fontId="7" fillId="0" borderId="0"/>
    <xf numFmtId="0" fontId="2" fillId="0" borderId="0"/>
    <xf numFmtId="43" fontId="5" fillId="0" borderId="0" applyFont="0" applyFill="0" applyBorder="0" applyAlignment="0" applyProtection="0"/>
  </cellStyleXfs>
  <cellXfs count="18">
    <xf numFmtId="0" fontId="0" fillId="0" borderId="0" xfId="0"/>
    <xf numFmtId="0" fontId="4" fillId="0" borderId="1" xfId="1" applyFont="1" applyBorder="1" applyAlignment="1">
      <alignment horizontal="center" vertical="center" wrapText="1"/>
    </xf>
    <xf numFmtId="0" fontId="4" fillId="0" borderId="1" xfId="2" quotePrefix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 wrapText="1"/>
    </xf>
    <xf numFmtId="0" fontId="6" fillId="0" borderId="1" xfId="2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165" fontId="4" fillId="0" borderId="1" xfId="3" quotePrefix="1" applyNumberFormat="1" applyFont="1" applyFill="1" applyBorder="1" applyAlignment="1">
      <alignment horizontal="center" vertical="center" wrapText="1"/>
    </xf>
    <xf numFmtId="0" fontId="4" fillId="3" borderId="1" xfId="4" applyFont="1" applyFill="1" applyBorder="1" applyAlignment="1">
      <alignment horizontal="center" vertical="center"/>
    </xf>
    <xf numFmtId="0" fontId="4" fillId="0" borderId="1" xfId="5" applyFont="1" applyBorder="1" applyAlignment="1">
      <alignment horizontal="center" vertical="center" wrapText="1"/>
    </xf>
    <xf numFmtId="165" fontId="4" fillId="0" borderId="1" xfId="6" applyNumberFormat="1" applyFont="1" applyFill="1" applyBorder="1" applyAlignment="1">
      <alignment horizontal="right" vertical="center" wrapText="1"/>
    </xf>
    <xf numFmtId="49" fontId="8" fillId="0" borderId="1" xfId="0" quotePrefix="1" applyNumberFormat="1" applyFont="1" applyBorder="1" applyAlignment="1">
      <alignment horizontal="center" vertical="center"/>
    </xf>
    <xf numFmtId="4" fontId="9" fillId="3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1" xfId="2" applyFont="1" applyBorder="1" applyAlignment="1">
      <alignment vertical="center" wrapText="1"/>
    </xf>
    <xf numFmtId="165" fontId="4" fillId="0" borderId="1" xfId="6" applyNumberFormat="1" applyFont="1" applyFill="1" applyBorder="1" applyAlignment="1">
      <alignment horizontal="center" vertical="center" wrapText="1"/>
    </xf>
    <xf numFmtId="0" fontId="0" fillId="0" borderId="1" xfId="0" applyBorder="1"/>
  </cellXfs>
  <cellStyles count="7">
    <cellStyle name="Comma 3" xfId="3" xr:uid="{6BEE8869-5AC2-46F0-AA8C-48139D1BF79B}"/>
    <cellStyle name="Comma 4" xfId="6" xr:uid="{B9EC078C-5A5E-4427-B8F3-5B9343D18E0C}"/>
    <cellStyle name="Normal" xfId="0" builtinId="0"/>
    <cellStyle name="Normal 2 2" xfId="2" xr:uid="{6D1C9D5E-48B1-4DD9-A138-CE7D48200675}"/>
    <cellStyle name="Normal 3" xfId="4" xr:uid="{F706412F-5ABD-4A9A-8164-1B4AE6AC3F96}"/>
    <cellStyle name="Normal 4" xfId="1" xr:uid="{E079AB68-FFF2-480D-94B0-C4F3221ABAA6}"/>
    <cellStyle name="Normal 5 5 2 6" xfId="5" xr:uid="{D52B4CCD-1AD7-4694-86FE-E498FFCC78C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tabSelected="1" workbookViewId="0">
      <selection activeCell="K8" sqref="K8"/>
    </sheetView>
  </sheetViews>
  <sheetFormatPr defaultRowHeight="15" x14ac:dyDescent="0.25"/>
  <cols>
    <col min="1" max="1" width="12" customWidth="1"/>
    <col min="2" max="2" width="12.28515625" customWidth="1"/>
    <col min="3" max="3" width="11.42578125" customWidth="1"/>
    <col min="4" max="4" width="22.140625" customWidth="1"/>
    <col min="5" max="5" width="15.140625" customWidth="1"/>
    <col min="6" max="7" width="22" customWidth="1"/>
    <col min="8" max="8" width="14" customWidth="1"/>
    <col min="9" max="9" width="15" customWidth="1"/>
    <col min="10" max="11" width="22" customWidth="1"/>
    <col min="12" max="12" width="12" customWidth="1"/>
    <col min="13" max="13" width="25.5703125" customWidth="1"/>
    <col min="14" max="14" width="21.85546875" customWidth="1"/>
    <col min="15" max="15" width="19.140625" customWidth="1"/>
    <col min="16" max="16" width="17" customWidth="1"/>
    <col min="17" max="17" width="22" customWidth="1"/>
    <col min="18" max="18" width="15" customWidth="1"/>
    <col min="19" max="19" width="31" customWidth="1"/>
    <col min="20" max="20" width="32" customWidth="1"/>
    <col min="21" max="21" width="12" customWidth="1"/>
  </cols>
  <sheetData>
    <row r="1" spans="1:21" ht="75.75" customHeigh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ht="61.5" customHeight="1" x14ac:dyDescent="0.25">
      <c r="A2" s="1">
        <v>1</v>
      </c>
      <c r="B2" s="2">
        <v>48</v>
      </c>
      <c r="C2" s="3">
        <v>1</v>
      </c>
      <c r="D2" s="4" t="s">
        <v>21</v>
      </c>
      <c r="E2" s="1" t="s">
        <v>22</v>
      </c>
      <c r="F2" s="5" t="s">
        <v>23</v>
      </c>
      <c r="G2" s="6" t="s">
        <v>31</v>
      </c>
      <c r="H2" s="6" t="str">
        <f t="shared" ref="H2:H40" si="0">IFERROR(PROPER(TRIM(RIGHT(G2,LEN(G2)-FIND(",",G2,1)))),"Uống")</f>
        <v>Uống</v>
      </c>
      <c r="I2" s="7" t="s">
        <v>24</v>
      </c>
      <c r="J2" s="7" t="s">
        <v>25</v>
      </c>
      <c r="K2" s="8" t="s">
        <v>26</v>
      </c>
      <c r="L2" s="9" t="s">
        <v>27</v>
      </c>
      <c r="M2" s="10" t="str">
        <f>N2&amp;", "&amp;O2</f>
        <v>Alpex Pharma SA, 
Thụy Sĩ</v>
      </c>
      <c r="N2" s="16" t="s">
        <v>255</v>
      </c>
      <c r="O2" s="7" t="s">
        <v>245</v>
      </c>
      <c r="P2" s="17"/>
      <c r="Q2" s="15"/>
      <c r="R2" s="11">
        <v>8500</v>
      </c>
      <c r="S2" s="15"/>
      <c r="T2" s="15"/>
      <c r="U2" s="15"/>
    </row>
    <row r="3" spans="1:21" ht="49.5" x14ac:dyDescent="0.25">
      <c r="A3" s="1">
        <v>2</v>
      </c>
      <c r="B3" s="2">
        <v>72</v>
      </c>
      <c r="C3" s="3">
        <v>1</v>
      </c>
      <c r="D3" s="4" t="s">
        <v>32</v>
      </c>
      <c r="E3" s="1" t="s">
        <v>33</v>
      </c>
      <c r="F3" s="5" t="s">
        <v>34</v>
      </c>
      <c r="G3" s="6" t="s">
        <v>31</v>
      </c>
      <c r="H3" s="6" t="str">
        <f t="shared" si="0"/>
        <v>Uống</v>
      </c>
      <c r="I3" s="7" t="s">
        <v>24</v>
      </c>
      <c r="J3" s="7" t="s">
        <v>35</v>
      </c>
      <c r="K3" s="8" t="s">
        <v>36</v>
      </c>
      <c r="L3" s="9" t="s">
        <v>27</v>
      </c>
      <c r="M3" s="10" t="str">
        <f t="shared" ref="M3:M43" si="1">N3&amp;", "&amp;O3</f>
        <v>Farmalabor – Produtos Farmacêuticos, S.A, Portugal</v>
      </c>
      <c r="N3" s="16" t="s">
        <v>256</v>
      </c>
      <c r="O3" s="7" t="s">
        <v>247</v>
      </c>
      <c r="P3" s="17"/>
      <c r="Q3" s="15"/>
      <c r="R3" s="11">
        <v>7690</v>
      </c>
      <c r="S3" s="15"/>
      <c r="T3" s="15"/>
      <c r="U3" s="15"/>
    </row>
    <row r="4" spans="1:21" ht="33" x14ac:dyDescent="0.25">
      <c r="A4" s="1">
        <v>3</v>
      </c>
      <c r="B4" s="2">
        <v>155</v>
      </c>
      <c r="C4" s="3">
        <v>1</v>
      </c>
      <c r="D4" s="4" t="s">
        <v>37</v>
      </c>
      <c r="E4" s="1" t="s">
        <v>38</v>
      </c>
      <c r="F4" s="5" t="s">
        <v>39</v>
      </c>
      <c r="G4" s="6" t="s">
        <v>40</v>
      </c>
      <c r="H4" s="6" t="str">
        <f t="shared" si="0"/>
        <v>Uống</v>
      </c>
      <c r="I4" s="7" t="s">
        <v>24</v>
      </c>
      <c r="J4" s="7" t="s">
        <v>41</v>
      </c>
      <c r="K4" s="8" t="s">
        <v>42</v>
      </c>
      <c r="L4" s="9" t="s">
        <v>27</v>
      </c>
      <c r="M4" s="10" t="str">
        <f t="shared" si="1"/>
        <v>Kern Pharma S.L, 
Tây Ban Nha</v>
      </c>
      <c r="N4" s="16" t="s">
        <v>257</v>
      </c>
      <c r="O4" s="7" t="s">
        <v>246</v>
      </c>
      <c r="P4" s="17"/>
      <c r="Q4" s="15"/>
      <c r="R4" s="11">
        <v>8000</v>
      </c>
      <c r="S4" s="15"/>
      <c r="T4" s="15"/>
      <c r="U4" s="15"/>
    </row>
    <row r="5" spans="1:21" ht="66" x14ac:dyDescent="0.25">
      <c r="A5" s="1">
        <v>4</v>
      </c>
      <c r="B5" s="2">
        <v>43</v>
      </c>
      <c r="C5" s="3">
        <v>1</v>
      </c>
      <c r="D5" s="4" t="s">
        <v>43</v>
      </c>
      <c r="E5" s="1" t="s">
        <v>44</v>
      </c>
      <c r="F5" s="5" t="s">
        <v>45</v>
      </c>
      <c r="G5" s="6" t="s">
        <v>46</v>
      </c>
      <c r="H5" s="6" t="str">
        <f t="shared" si="0"/>
        <v>Uống</v>
      </c>
      <c r="I5" s="7" t="s">
        <v>47</v>
      </c>
      <c r="J5" s="7" t="s">
        <v>48</v>
      </c>
      <c r="K5" s="8" t="s">
        <v>49</v>
      </c>
      <c r="L5" s="9" t="s">
        <v>27</v>
      </c>
      <c r="M5" s="10" t="str">
        <f t="shared" si="1"/>
        <v>Farmalabor-Produtos Farmacêuticos, S.A (Fab.), Portugal</v>
      </c>
      <c r="N5" s="16" t="s">
        <v>258</v>
      </c>
      <c r="O5" s="7" t="s">
        <v>247</v>
      </c>
      <c r="P5" s="17"/>
      <c r="Q5" s="15"/>
      <c r="R5" s="11">
        <v>98000</v>
      </c>
      <c r="S5" s="15"/>
      <c r="T5" s="15"/>
      <c r="U5" s="15"/>
    </row>
    <row r="6" spans="1:21" ht="33" x14ac:dyDescent="0.25">
      <c r="A6" s="1">
        <v>5</v>
      </c>
      <c r="B6" s="2">
        <v>548</v>
      </c>
      <c r="C6" s="3">
        <v>1</v>
      </c>
      <c r="D6" s="4" t="s">
        <v>50</v>
      </c>
      <c r="E6" s="1" t="s">
        <v>28</v>
      </c>
      <c r="F6" s="5" t="s">
        <v>51</v>
      </c>
      <c r="G6" s="6" t="s">
        <v>52</v>
      </c>
      <c r="H6" s="6" t="str">
        <f t="shared" si="0"/>
        <v>Uống</v>
      </c>
      <c r="I6" s="7" t="s">
        <v>24</v>
      </c>
      <c r="J6" s="7" t="s">
        <v>53</v>
      </c>
      <c r="K6" s="8" t="s">
        <v>54</v>
      </c>
      <c r="L6" s="9" t="s">
        <v>27</v>
      </c>
      <c r="M6" s="10" t="str">
        <f t="shared" si="1"/>
        <v>Laboratorios Liconsa, S.A, Spain</v>
      </c>
      <c r="N6" s="16" t="s">
        <v>259</v>
      </c>
      <c r="O6" s="7" t="s">
        <v>253</v>
      </c>
      <c r="P6" s="17"/>
      <c r="Q6" s="15"/>
      <c r="R6" s="11">
        <v>15500</v>
      </c>
      <c r="S6" s="15"/>
      <c r="T6" s="15"/>
      <c r="U6" s="15"/>
    </row>
    <row r="7" spans="1:21" ht="49.5" x14ac:dyDescent="0.25">
      <c r="A7" s="1">
        <v>6</v>
      </c>
      <c r="B7" s="2">
        <v>427</v>
      </c>
      <c r="C7" s="3">
        <v>2</v>
      </c>
      <c r="D7" s="4" t="s">
        <v>55</v>
      </c>
      <c r="E7" s="1" t="s">
        <v>56</v>
      </c>
      <c r="F7" s="5" t="s">
        <v>57</v>
      </c>
      <c r="G7" s="6" t="s">
        <v>52</v>
      </c>
      <c r="H7" s="6" t="str">
        <f t="shared" si="0"/>
        <v>Uống</v>
      </c>
      <c r="I7" s="7" t="s">
        <v>24</v>
      </c>
      <c r="J7" s="7" t="s">
        <v>58</v>
      </c>
      <c r="K7" s="8" t="s">
        <v>288</v>
      </c>
      <c r="L7" s="9" t="s">
        <v>27</v>
      </c>
      <c r="M7" s="10" t="str">
        <f t="shared" si="1"/>
        <v>Công ty cổ phần dược phẩm Đạt Vi Phú, Việt Nam</v>
      </c>
      <c r="N7" s="16" t="s">
        <v>29</v>
      </c>
      <c r="O7" s="7" t="s">
        <v>30</v>
      </c>
      <c r="P7" s="17"/>
      <c r="Q7" s="15"/>
      <c r="R7" s="11" t="s">
        <v>59</v>
      </c>
      <c r="S7" s="15"/>
      <c r="T7" s="15"/>
      <c r="U7" s="15"/>
    </row>
    <row r="8" spans="1:21" ht="33" x14ac:dyDescent="0.25">
      <c r="A8" s="1">
        <v>7</v>
      </c>
      <c r="B8" s="2">
        <v>377</v>
      </c>
      <c r="C8" s="3">
        <v>2</v>
      </c>
      <c r="D8" s="4" t="s">
        <v>60</v>
      </c>
      <c r="E8" s="1" t="s">
        <v>56</v>
      </c>
      <c r="F8" s="5" t="s">
        <v>61</v>
      </c>
      <c r="G8" s="6" t="s">
        <v>52</v>
      </c>
      <c r="H8" s="6" t="str">
        <f t="shared" si="0"/>
        <v>Uống</v>
      </c>
      <c r="I8" s="7" t="s">
        <v>24</v>
      </c>
      <c r="J8" s="7" t="s">
        <v>58</v>
      </c>
      <c r="K8" s="8" t="s">
        <v>62</v>
      </c>
      <c r="L8" s="9" t="s">
        <v>27</v>
      </c>
      <c r="M8" s="10" t="str">
        <f t="shared" si="1"/>
        <v>Korea United Pharm.Inc, Hàn Quốc</v>
      </c>
      <c r="N8" s="16" t="s">
        <v>260</v>
      </c>
      <c r="O8" s="7" t="s">
        <v>254</v>
      </c>
      <c r="P8" s="17"/>
      <c r="Q8" s="15"/>
      <c r="R8" s="11">
        <v>4179</v>
      </c>
      <c r="S8" s="15"/>
      <c r="T8" s="15"/>
      <c r="U8" s="15"/>
    </row>
    <row r="9" spans="1:21" ht="33" x14ac:dyDescent="0.25">
      <c r="A9" s="1">
        <v>8</v>
      </c>
      <c r="B9" s="2">
        <v>377</v>
      </c>
      <c r="C9" s="3">
        <v>2</v>
      </c>
      <c r="D9" s="4" t="s">
        <v>60</v>
      </c>
      <c r="E9" s="1" t="s">
        <v>56</v>
      </c>
      <c r="F9" s="5" t="s">
        <v>63</v>
      </c>
      <c r="G9" s="6" t="s">
        <v>52</v>
      </c>
      <c r="H9" s="6" t="str">
        <f t="shared" si="0"/>
        <v>Uống</v>
      </c>
      <c r="I9" s="7" t="s">
        <v>24</v>
      </c>
      <c r="J9" s="7" t="s">
        <v>58</v>
      </c>
      <c r="K9" s="12" t="s">
        <v>64</v>
      </c>
      <c r="L9" s="9" t="s">
        <v>27</v>
      </c>
      <c r="M9" s="10" t="str">
        <f t="shared" si="1"/>
        <v>Công ty CPDP Đạt Vi Phú , Việt Nam</v>
      </c>
      <c r="N9" s="16" t="s">
        <v>261</v>
      </c>
      <c r="O9" s="7" t="s">
        <v>30</v>
      </c>
      <c r="P9" s="17"/>
      <c r="Q9" s="15"/>
      <c r="R9" s="11">
        <v>4180</v>
      </c>
      <c r="S9" s="15"/>
      <c r="T9" s="15"/>
      <c r="U9" s="15"/>
    </row>
    <row r="10" spans="1:21" ht="33" x14ac:dyDescent="0.25">
      <c r="A10" s="1">
        <v>9</v>
      </c>
      <c r="B10" s="2">
        <v>377</v>
      </c>
      <c r="C10" s="3">
        <v>2</v>
      </c>
      <c r="D10" s="4" t="s">
        <v>60</v>
      </c>
      <c r="E10" s="1" t="s">
        <v>65</v>
      </c>
      <c r="F10" s="5" t="s">
        <v>66</v>
      </c>
      <c r="G10" s="6" t="s">
        <v>52</v>
      </c>
      <c r="H10" s="6" t="str">
        <f t="shared" si="0"/>
        <v>Uống</v>
      </c>
      <c r="I10" s="7" t="s">
        <v>24</v>
      </c>
      <c r="J10" s="7" t="s">
        <v>35</v>
      </c>
      <c r="K10" s="8" t="s">
        <v>67</v>
      </c>
      <c r="L10" s="9" t="s">
        <v>27</v>
      </c>
      <c r="M10" s="10" t="str">
        <f t="shared" si="1"/>
        <v>Công ty CPDP Đạt Vi Phú , Việt Nam</v>
      </c>
      <c r="N10" s="16" t="s">
        <v>261</v>
      </c>
      <c r="O10" s="7" t="s">
        <v>30</v>
      </c>
      <c r="P10" s="17"/>
      <c r="Q10" s="15"/>
      <c r="R10" s="11">
        <v>8360</v>
      </c>
      <c r="S10" s="15"/>
      <c r="T10" s="15"/>
      <c r="U10" s="15"/>
    </row>
    <row r="11" spans="1:21" ht="49.5" x14ac:dyDescent="0.25">
      <c r="A11" s="1">
        <v>10</v>
      </c>
      <c r="B11" s="2">
        <v>317</v>
      </c>
      <c r="C11" s="3">
        <v>2</v>
      </c>
      <c r="D11" s="4" t="s">
        <v>68</v>
      </c>
      <c r="E11" s="1" t="s">
        <v>69</v>
      </c>
      <c r="F11" s="5" t="s">
        <v>70</v>
      </c>
      <c r="G11" s="6" t="s">
        <v>46</v>
      </c>
      <c r="H11" s="6" t="str">
        <f t="shared" si="0"/>
        <v>Uống</v>
      </c>
      <c r="I11" s="7" t="s">
        <v>71</v>
      </c>
      <c r="J11" s="7" t="s">
        <v>72</v>
      </c>
      <c r="K11" s="8" t="s">
        <v>73</v>
      </c>
      <c r="L11" s="9" t="s">
        <v>27</v>
      </c>
      <c r="M11" s="10" t="str">
        <f t="shared" si="1"/>
        <v>Gracure Pharmaceuticals Ltd , India</v>
      </c>
      <c r="N11" s="16" t="s">
        <v>262</v>
      </c>
      <c r="O11" s="7" t="s">
        <v>248</v>
      </c>
      <c r="P11" s="17"/>
      <c r="Q11" s="15"/>
      <c r="R11" s="11">
        <v>62000</v>
      </c>
      <c r="S11" s="15"/>
      <c r="T11" s="15"/>
      <c r="U11" s="15"/>
    </row>
    <row r="12" spans="1:21" ht="49.5" x14ac:dyDescent="0.25">
      <c r="A12" s="1">
        <v>11</v>
      </c>
      <c r="B12" s="2">
        <v>43</v>
      </c>
      <c r="C12" s="3">
        <v>2</v>
      </c>
      <c r="D12" s="4" t="s">
        <v>43</v>
      </c>
      <c r="E12" s="1" t="s">
        <v>74</v>
      </c>
      <c r="F12" s="5" t="s">
        <v>75</v>
      </c>
      <c r="G12" s="6" t="s">
        <v>46</v>
      </c>
      <c r="H12" s="6" t="str">
        <f t="shared" si="0"/>
        <v>Uống</v>
      </c>
      <c r="I12" s="7" t="s">
        <v>71</v>
      </c>
      <c r="J12" s="7" t="s">
        <v>48</v>
      </c>
      <c r="K12" s="8" t="s">
        <v>76</v>
      </c>
      <c r="L12" s="9" t="s">
        <v>27</v>
      </c>
      <c r="M12" s="10" t="str">
        <f t="shared" si="1"/>
        <v>Gracure Pharmaceuticals Ltd , India</v>
      </c>
      <c r="N12" s="16" t="s">
        <v>262</v>
      </c>
      <c r="O12" s="7" t="s">
        <v>248</v>
      </c>
      <c r="P12" s="17"/>
      <c r="Q12" s="15"/>
      <c r="R12" s="11">
        <v>98000</v>
      </c>
      <c r="S12" s="15"/>
      <c r="T12" s="15"/>
      <c r="U12" s="15"/>
    </row>
    <row r="13" spans="1:21" ht="33" x14ac:dyDescent="0.25">
      <c r="A13" s="1">
        <v>12</v>
      </c>
      <c r="B13" s="2">
        <v>529</v>
      </c>
      <c r="C13" s="3">
        <v>2</v>
      </c>
      <c r="D13" s="4" t="s">
        <v>77</v>
      </c>
      <c r="E13" s="1" t="s">
        <v>78</v>
      </c>
      <c r="F13" s="5" t="s">
        <v>79</v>
      </c>
      <c r="G13" s="6" t="s">
        <v>80</v>
      </c>
      <c r="H13" s="6" t="str">
        <f t="shared" si="0"/>
        <v>Uống</v>
      </c>
      <c r="I13" s="7" t="s">
        <v>24</v>
      </c>
      <c r="J13" s="7" t="s">
        <v>25</v>
      </c>
      <c r="K13" s="8" t="s">
        <v>81</v>
      </c>
      <c r="L13" s="9" t="s">
        <v>27</v>
      </c>
      <c r="M13" s="10" t="str">
        <f t="shared" si="1"/>
        <v>Zydus Lifesciences
Limited, India</v>
      </c>
      <c r="N13" s="16" t="s">
        <v>263</v>
      </c>
      <c r="O13" s="7" t="s">
        <v>248</v>
      </c>
      <c r="P13" s="17"/>
      <c r="Q13" s="15"/>
      <c r="R13" s="11">
        <v>10000</v>
      </c>
      <c r="S13" s="15"/>
      <c r="T13" s="15"/>
      <c r="U13" s="15"/>
    </row>
    <row r="14" spans="1:21" ht="82.5" x14ac:dyDescent="0.25">
      <c r="A14" s="1">
        <v>13</v>
      </c>
      <c r="B14" s="2">
        <v>317</v>
      </c>
      <c r="C14" s="3">
        <v>2</v>
      </c>
      <c r="D14" s="4" t="s">
        <v>82</v>
      </c>
      <c r="E14" s="1" t="s">
        <v>83</v>
      </c>
      <c r="F14" s="5" t="s">
        <v>84</v>
      </c>
      <c r="G14" s="6" t="s">
        <v>85</v>
      </c>
      <c r="H14" s="6" t="s">
        <v>244</v>
      </c>
      <c r="I14" s="7" t="s">
        <v>86</v>
      </c>
      <c r="J14" s="7" t="s">
        <v>87</v>
      </c>
      <c r="K14" s="8" t="s">
        <v>88</v>
      </c>
      <c r="L14" s="9" t="s">
        <v>89</v>
      </c>
      <c r="M14" s="10" t="str">
        <f t="shared" si="1"/>
        <v>Farmaprim Ltd, Moldova</v>
      </c>
      <c r="N14" s="16" t="s">
        <v>264</v>
      </c>
      <c r="O14" s="7" t="s">
        <v>249</v>
      </c>
      <c r="P14" s="17"/>
      <c r="Q14" s="15"/>
      <c r="R14" s="11">
        <v>26000</v>
      </c>
      <c r="S14" s="15"/>
      <c r="T14" s="15"/>
      <c r="U14" s="15"/>
    </row>
    <row r="15" spans="1:21" ht="66" x14ac:dyDescent="0.25">
      <c r="A15" s="1">
        <v>14</v>
      </c>
      <c r="B15" s="2">
        <v>184</v>
      </c>
      <c r="C15" s="3">
        <v>2</v>
      </c>
      <c r="D15" s="4" t="s">
        <v>90</v>
      </c>
      <c r="E15" s="1" t="s">
        <v>91</v>
      </c>
      <c r="F15" s="5" t="s">
        <v>92</v>
      </c>
      <c r="G15" s="6" t="s">
        <v>93</v>
      </c>
      <c r="H15" s="6" t="str">
        <f t="shared" si="0"/>
        <v>Tiêm</v>
      </c>
      <c r="I15" s="7" t="s">
        <v>94</v>
      </c>
      <c r="J15" s="7" t="s">
        <v>95</v>
      </c>
      <c r="K15" s="8" t="s">
        <v>96</v>
      </c>
      <c r="L15" s="9" t="s">
        <v>97</v>
      </c>
      <c r="M15" s="10" t="str">
        <f t="shared" si="1"/>
        <v>Chi nhánh 3 - Công ty Cổ phần Dược phẩm Imexpharm tại Bình Dương , Việt Nam</v>
      </c>
      <c r="N15" s="16" t="s">
        <v>265</v>
      </c>
      <c r="O15" s="7" t="s">
        <v>30</v>
      </c>
      <c r="P15" s="17"/>
      <c r="Q15" s="15"/>
      <c r="R15" s="11">
        <v>158000</v>
      </c>
      <c r="S15" s="15"/>
      <c r="T15" s="15"/>
      <c r="U15" s="15"/>
    </row>
    <row r="16" spans="1:21" ht="66" x14ac:dyDescent="0.25">
      <c r="A16" s="1">
        <v>15</v>
      </c>
      <c r="B16" s="2">
        <v>778</v>
      </c>
      <c r="C16" s="3">
        <v>3</v>
      </c>
      <c r="D16" s="4" t="s">
        <v>98</v>
      </c>
      <c r="E16" s="1" t="s">
        <v>99</v>
      </c>
      <c r="F16" s="5" t="s">
        <v>100</v>
      </c>
      <c r="G16" s="6" t="s">
        <v>80</v>
      </c>
      <c r="H16" s="6" t="str">
        <f t="shared" si="0"/>
        <v>Uống</v>
      </c>
      <c r="I16" s="7" t="s">
        <v>24</v>
      </c>
      <c r="J16" s="7" t="s">
        <v>25</v>
      </c>
      <c r="K16" s="8" t="s">
        <v>101</v>
      </c>
      <c r="L16" s="9" t="s">
        <v>102</v>
      </c>
      <c r="M16" s="10" t="str">
        <f t="shared" si="1"/>
        <v>Công ty cổ phần Dược- Trang thiết bị y tế Bình Định
(BIDIPHAR) , Việt Nam</v>
      </c>
      <c r="N16" s="16" t="s">
        <v>266</v>
      </c>
      <c r="O16" s="7" t="s">
        <v>30</v>
      </c>
      <c r="P16" s="17"/>
      <c r="Q16" s="15"/>
      <c r="R16" s="11">
        <v>12999</v>
      </c>
      <c r="S16" s="15"/>
      <c r="T16" s="15"/>
      <c r="U16" s="15"/>
    </row>
    <row r="17" spans="1:21" ht="33" x14ac:dyDescent="0.25">
      <c r="A17" s="1">
        <v>16</v>
      </c>
      <c r="B17" s="2">
        <v>501</v>
      </c>
      <c r="C17" s="3">
        <v>3</v>
      </c>
      <c r="D17" s="4" t="s">
        <v>103</v>
      </c>
      <c r="E17" s="1" t="s">
        <v>104</v>
      </c>
      <c r="F17" s="5" t="s">
        <v>105</v>
      </c>
      <c r="G17" s="6" t="s">
        <v>52</v>
      </c>
      <c r="H17" s="6" t="str">
        <f t="shared" si="0"/>
        <v>Uống</v>
      </c>
      <c r="I17" s="7" t="s">
        <v>24</v>
      </c>
      <c r="J17" s="7" t="s">
        <v>25</v>
      </c>
      <c r="K17" s="8" t="s">
        <v>106</v>
      </c>
      <c r="L17" s="9" t="s">
        <v>27</v>
      </c>
      <c r="M17" s="10" t="str">
        <f t="shared" si="1"/>
        <v>Công ty CPDP Trường Thọ, Việt Nam</v>
      </c>
      <c r="N17" s="16" t="s">
        <v>267</v>
      </c>
      <c r="O17" s="7" t="s">
        <v>30</v>
      </c>
      <c r="P17" s="17"/>
      <c r="Q17" s="15"/>
      <c r="R17" s="11">
        <v>9000</v>
      </c>
      <c r="S17" s="15"/>
      <c r="T17" s="15"/>
      <c r="U17" s="15"/>
    </row>
    <row r="18" spans="1:21" ht="33" x14ac:dyDescent="0.25">
      <c r="A18" s="1">
        <v>17</v>
      </c>
      <c r="B18" s="2">
        <v>968</v>
      </c>
      <c r="C18" s="3">
        <v>4</v>
      </c>
      <c r="D18" s="4" t="s">
        <v>107</v>
      </c>
      <c r="E18" s="1" t="s">
        <v>108</v>
      </c>
      <c r="F18" s="5" t="s">
        <v>109</v>
      </c>
      <c r="G18" s="6" t="s">
        <v>46</v>
      </c>
      <c r="H18" s="6" t="str">
        <f t="shared" si="0"/>
        <v>Uống</v>
      </c>
      <c r="I18" s="7" t="s">
        <v>71</v>
      </c>
      <c r="J18" s="7" t="s">
        <v>110</v>
      </c>
      <c r="K18" s="8" t="s">
        <v>111</v>
      </c>
      <c r="L18" s="9" t="s">
        <v>112</v>
      </c>
      <c r="M18" s="10" t="str">
        <f t="shared" si="1"/>
        <v>Công ty Cổ phần Medcen, Việt Nam</v>
      </c>
      <c r="N18" s="16" t="s">
        <v>268</v>
      </c>
      <c r="O18" s="7" t="s">
        <v>30</v>
      </c>
      <c r="P18" s="17"/>
      <c r="Q18" s="15"/>
      <c r="R18" s="11">
        <v>30000</v>
      </c>
      <c r="S18" s="15"/>
      <c r="T18" s="15"/>
      <c r="U18" s="15"/>
    </row>
    <row r="19" spans="1:21" ht="49.5" x14ac:dyDescent="0.25">
      <c r="A19" s="1">
        <v>18</v>
      </c>
      <c r="B19" s="2">
        <v>962</v>
      </c>
      <c r="C19" s="3">
        <v>4</v>
      </c>
      <c r="D19" s="4" t="s">
        <v>113</v>
      </c>
      <c r="E19" s="1" t="s">
        <v>114</v>
      </c>
      <c r="F19" s="5" t="s">
        <v>115</v>
      </c>
      <c r="G19" s="6" t="s">
        <v>46</v>
      </c>
      <c r="H19" s="6" t="str">
        <f t="shared" si="0"/>
        <v>Uống</v>
      </c>
      <c r="I19" s="7" t="s">
        <v>116</v>
      </c>
      <c r="J19" s="7" t="s">
        <v>117</v>
      </c>
      <c r="K19" s="8" t="s">
        <v>118</v>
      </c>
      <c r="L19" s="9" t="s">
        <v>97</v>
      </c>
      <c r="M19" s="10" t="str">
        <f t="shared" si="1"/>
        <v>Công ty cổ phần Dược VTYT Hà Nam, Việt Nam</v>
      </c>
      <c r="N19" s="16" t="s">
        <v>269</v>
      </c>
      <c r="O19" s="7" t="s">
        <v>30</v>
      </c>
      <c r="P19" s="17"/>
      <c r="Q19" s="15"/>
      <c r="R19" s="11">
        <v>49000</v>
      </c>
      <c r="S19" s="15"/>
      <c r="T19" s="15"/>
      <c r="U19" s="15"/>
    </row>
    <row r="20" spans="1:21" ht="49.5" x14ac:dyDescent="0.25">
      <c r="A20" s="1">
        <v>19</v>
      </c>
      <c r="B20" s="2">
        <v>169</v>
      </c>
      <c r="C20" s="3">
        <v>4</v>
      </c>
      <c r="D20" s="4" t="s">
        <v>119</v>
      </c>
      <c r="E20" s="1" t="s">
        <v>120</v>
      </c>
      <c r="F20" s="5" t="s">
        <v>121</v>
      </c>
      <c r="G20" s="6" t="s">
        <v>122</v>
      </c>
      <c r="H20" s="6" t="str">
        <f t="shared" si="0"/>
        <v>Uống</v>
      </c>
      <c r="I20" s="7" t="s">
        <v>123</v>
      </c>
      <c r="J20" s="7" t="s">
        <v>124</v>
      </c>
      <c r="K20" s="8" t="s">
        <v>125</v>
      </c>
      <c r="L20" s="9" t="s">
        <v>27</v>
      </c>
      <c r="M20" s="10" t="str">
        <f t="shared" si="1"/>
        <v>Công ty cổ phần dược phẩm Minh Dân, Việt Nam</v>
      </c>
      <c r="N20" s="16" t="s">
        <v>270</v>
      </c>
      <c r="O20" s="7" t="s">
        <v>30</v>
      </c>
      <c r="P20" s="17"/>
      <c r="Q20" s="15"/>
      <c r="R20" s="11">
        <v>4550</v>
      </c>
      <c r="S20" s="15"/>
      <c r="T20" s="15"/>
      <c r="U20" s="15"/>
    </row>
    <row r="21" spans="1:21" ht="49.5" x14ac:dyDescent="0.25">
      <c r="A21" s="1">
        <v>20</v>
      </c>
      <c r="B21" s="2">
        <v>1007</v>
      </c>
      <c r="C21" s="3">
        <v>4</v>
      </c>
      <c r="D21" s="4" t="s">
        <v>126</v>
      </c>
      <c r="E21" s="1" t="s">
        <v>127</v>
      </c>
      <c r="F21" s="5" t="s">
        <v>128</v>
      </c>
      <c r="G21" s="6" t="s">
        <v>122</v>
      </c>
      <c r="H21" s="6" t="str">
        <f t="shared" si="0"/>
        <v>Uống</v>
      </c>
      <c r="I21" s="7" t="s">
        <v>123</v>
      </c>
      <c r="J21" s="7" t="s">
        <v>129</v>
      </c>
      <c r="K21" s="8" t="s">
        <v>130</v>
      </c>
      <c r="L21" s="9" t="s">
        <v>27</v>
      </c>
      <c r="M21" s="10" t="str">
        <f t="shared" si="1"/>
        <v>Công ty Cổ phần Dược phẩm OPV , Việt Nam</v>
      </c>
      <c r="N21" s="16" t="s">
        <v>271</v>
      </c>
      <c r="O21" s="7" t="s">
        <v>30</v>
      </c>
      <c r="P21" s="17"/>
      <c r="Q21" s="15"/>
      <c r="R21" s="11">
        <v>4760</v>
      </c>
      <c r="S21" s="15"/>
      <c r="T21" s="15"/>
      <c r="U21" s="15"/>
    </row>
    <row r="22" spans="1:21" ht="49.5" x14ac:dyDescent="0.25">
      <c r="A22" s="1">
        <v>21</v>
      </c>
      <c r="B22" s="2">
        <v>673</v>
      </c>
      <c r="C22" s="3">
        <v>4</v>
      </c>
      <c r="D22" s="4" t="s">
        <v>131</v>
      </c>
      <c r="E22" s="1" t="s">
        <v>132</v>
      </c>
      <c r="F22" s="5" t="s">
        <v>133</v>
      </c>
      <c r="G22" s="6" t="s">
        <v>46</v>
      </c>
      <c r="H22" s="6" t="str">
        <f t="shared" si="0"/>
        <v>Uống</v>
      </c>
      <c r="I22" s="7" t="s">
        <v>123</v>
      </c>
      <c r="J22" s="7" t="s">
        <v>134</v>
      </c>
      <c r="K22" s="8" t="s">
        <v>135</v>
      </c>
      <c r="L22" s="9" t="s">
        <v>97</v>
      </c>
      <c r="M22" s="10" t="str">
        <f t="shared" si="1"/>
        <v>Công ty cổ phần dược phẩm Me Di Sun , Việt Nam</v>
      </c>
      <c r="N22" s="16" t="s">
        <v>272</v>
      </c>
      <c r="O22" s="7" t="s">
        <v>30</v>
      </c>
      <c r="P22" s="17"/>
      <c r="Q22" s="15"/>
      <c r="R22" s="11">
        <v>9000</v>
      </c>
      <c r="S22" s="15"/>
      <c r="T22" s="15"/>
      <c r="U22" s="15"/>
    </row>
    <row r="23" spans="1:21" ht="49.5" x14ac:dyDescent="0.25">
      <c r="A23" s="1">
        <v>22</v>
      </c>
      <c r="B23" s="2">
        <v>949</v>
      </c>
      <c r="C23" s="3">
        <v>4</v>
      </c>
      <c r="D23" s="4" t="s">
        <v>136</v>
      </c>
      <c r="E23" s="1" t="s">
        <v>137</v>
      </c>
      <c r="F23" s="5" t="s">
        <v>138</v>
      </c>
      <c r="G23" s="6" t="s">
        <v>46</v>
      </c>
      <c r="H23" s="6" t="str">
        <f t="shared" si="0"/>
        <v>Uống</v>
      </c>
      <c r="I23" s="7" t="s">
        <v>123</v>
      </c>
      <c r="J23" s="7" t="s">
        <v>139</v>
      </c>
      <c r="K23" s="8" t="s">
        <v>140</v>
      </c>
      <c r="L23" s="9" t="s">
        <v>27</v>
      </c>
      <c r="M23" s="10" t="str">
        <f t="shared" si="1"/>
        <v>Công ty CP Dược phẩm Agimexpharm, Việt Nam</v>
      </c>
      <c r="N23" s="16" t="s">
        <v>273</v>
      </c>
      <c r="O23" s="7" t="s">
        <v>30</v>
      </c>
      <c r="P23" s="17"/>
      <c r="Q23" s="15"/>
      <c r="R23" s="11">
        <v>14500</v>
      </c>
      <c r="S23" s="15"/>
      <c r="T23" s="15"/>
      <c r="U23" s="15"/>
    </row>
    <row r="24" spans="1:21" ht="49.5" x14ac:dyDescent="0.25">
      <c r="A24" s="1">
        <v>23</v>
      </c>
      <c r="B24" s="2">
        <v>949</v>
      </c>
      <c r="C24" s="3">
        <v>4</v>
      </c>
      <c r="D24" s="4" t="s">
        <v>136</v>
      </c>
      <c r="E24" s="1" t="s">
        <v>141</v>
      </c>
      <c r="F24" s="5" t="s">
        <v>138</v>
      </c>
      <c r="G24" s="6" t="s">
        <v>46</v>
      </c>
      <c r="H24" s="6" t="str">
        <f t="shared" si="0"/>
        <v>Uống</v>
      </c>
      <c r="I24" s="7" t="s">
        <v>123</v>
      </c>
      <c r="J24" s="7" t="s">
        <v>139</v>
      </c>
      <c r="K24" s="8" t="s">
        <v>140</v>
      </c>
      <c r="L24" s="9" t="s">
        <v>27</v>
      </c>
      <c r="M24" s="10" t="str">
        <f t="shared" si="1"/>
        <v>Công ty CP Dược phẩm Agimexpharm, Việt Nam</v>
      </c>
      <c r="N24" s="16" t="s">
        <v>273</v>
      </c>
      <c r="O24" s="7" t="s">
        <v>30</v>
      </c>
      <c r="P24" s="17"/>
      <c r="Q24" s="15"/>
      <c r="R24" s="11">
        <v>28000</v>
      </c>
      <c r="S24" s="15"/>
      <c r="T24" s="15"/>
      <c r="U24" s="15"/>
    </row>
    <row r="25" spans="1:21" ht="49.5" x14ac:dyDescent="0.25">
      <c r="A25" s="1">
        <v>24</v>
      </c>
      <c r="B25" s="2">
        <v>675</v>
      </c>
      <c r="C25" s="3">
        <v>4</v>
      </c>
      <c r="D25" s="4" t="s">
        <v>142</v>
      </c>
      <c r="E25" s="1" t="s">
        <v>143</v>
      </c>
      <c r="F25" s="5" t="s">
        <v>144</v>
      </c>
      <c r="G25" s="6" t="s">
        <v>145</v>
      </c>
      <c r="H25" s="6" t="str">
        <f t="shared" si="0"/>
        <v>Tiêm</v>
      </c>
      <c r="I25" s="7" t="s">
        <v>146</v>
      </c>
      <c r="J25" s="7" t="s">
        <v>147</v>
      </c>
      <c r="K25" s="8" t="s">
        <v>148</v>
      </c>
      <c r="L25" s="9" t="s">
        <v>27</v>
      </c>
      <c r="M25" s="10" t="str">
        <f t="shared" si="1"/>
        <v>Công ty cổ phần Dược vật tư y tế Hải Dương, Việt Nam</v>
      </c>
      <c r="N25" s="16" t="s">
        <v>274</v>
      </c>
      <c r="O25" s="7" t="s">
        <v>30</v>
      </c>
      <c r="P25" s="17"/>
      <c r="Q25" s="15"/>
      <c r="R25" s="11">
        <v>40000</v>
      </c>
      <c r="S25" s="15"/>
      <c r="T25" s="15"/>
      <c r="U25" s="15"/>
    </row>
    <row r="26" spans="1:21" ht="49.5" x14ac:dyDescent="0.25">
      <c r="A26" s="1">
        <v>25</v>
      </c>
      <c r="B26" s="2">
        <v>134</v>
      </c>
      <c r="C26" s="3">
        <v>4</v>
      </c>
      <c r="D26" s="4" t="s">
        <v>149</v>
      </c>
      <c r="E26" s="1" t="s">
        <v>150</v>
      </c>
      <c r="F26" s="5" t="s">
        <v>151</v>
      </c>
      <c r="G26" s="6" t="s">
        <v>145</v>
      </c>
      <c r="H26" s="6" t="str">
        <f t="shared" si="0"/>
        <v>Tiêm</v>
      </c>
      <c r="I26" s="7" t="s">
        <v>146</v>
      </c>
      <c r="J26" s="7" t="s">
        <v>152</v>
      </c>
      <c r="K26" s="8" t="s">
        <v>153</v>
      </c>
      <c r="L26" s="9" t="s">
        <v>27</v>
      </c>
      <c r="M26" s="10" t="str">
        <f t="shared" si="1"/>
        <v>Công ty cổ phần dược phẩm Vĩnh Phúc, Việt Nam</v>
      </c>
      <c r="N26" s="16" t="s">
        <v>275</v>
      </c>
      <c r="O26" s="7" t="s">
        <v>30</v>
      </c>
      <c r="P26" s="17"/>
      <c r="Q26" s="15"/>
      <c r="R26" s="11">
        <v>74500</v>
      </c>
      <c r="S26" s="15"/>
      <c r="T26" s="15"/>
      <c r="U26" s="15"/>
    </row>
    <row r="27" spans="1:21" ht="49.5" x14ac:dyDescent="0.25">
      <c r="A27" s="1">
        <v>26</v>
      </c>
      <c r="B27" s="2">
        <v>134</v>
      </c>
      <c r="C27" s="3">
        <v>4</v>
      </c>
      <c r="D27" s="4" t="s">
        <v>154</v>
      </c>
      <c r="E27" s="1" t="s">
        <v>155</v>
      </c>
      <c r="F27" s="5" t="s">
        <v>156</v>
      </c>
      <c r="G27" s="6" t="s">
        <v>145</v>
      </c>
      <c r="H27" s="6" t="str">
        <f t="shared" si="0"/>
        <v>Tiêm</v>
      </c>
      <c r="I27" s="7" t="s">
        <v>146</v>
      </c>
      <c r="J27" s="7" t="s">
        <v>157</v>
      </c>
      <c r="K27" s="8" t="s">
        <v>158</v>
      </c>
      <c r="L27" s="9" t="s">
        <v>27</v>
      </c>
      <c r="M27" s="10" t="str">
        <f t="shared" si="1"/>
        <v>Công ty cổ phần dược phẩm Vĩnh Phúc, Việt Nam</v>
      </c>
      <c r="N27" s="16" t="s">
        <v>275</v>
      </c>
      <c r="O27" s="7" t="s">
        <v>30</v>
      </c>
      <c r="P27" s="17"/>
      <c r="Q27" s="15"/>
      <c r="R27" s="11">
        <v>54500</v>
      </c>
      <c r="S27" s="15"/>
      <c r="T27" s="15"/>
      <c r="U27" s="15"/>
    </row>
    <row r="28" spans="1:21" ht="33" x14ac:dyDescent="0.25">
      <c r="A28" s="1">
        <v>27</v>
      </c>
      <c r="B28" s="2">
        <v>949</v>
      </c>
      <c r="C28" s="3">
        <v>4</v>
      </c>
      <c r="D28" s="4" t="s">
        <v>136</v>
      </c>
      <c r="E28" s="1" t="s">
        <v>159</v>
      </c>
      <c r="F28" s="5" t="s">
        <v>160</v>
      </c>
      <c r="G28" s="6" t="s">
        <v>46</v>
      </c>
      <c r="H28" s="6" t="str">
        <f t="shared" si="0"/>
        <v>Uống</v>
      </c>
      <c r="I28" s="7" t="s">
        <v>161</v>
      </c>
      <c r="J28" s="7" t="s">
        <v>162</v>
      </c>
      <c r="K28" s="8" t="s">
        <v>163</v>
      </c>
      <c r="L28" s="9" t="s">
        <v>27</v>
      </c>
      <c r="M28" s="10" t="str">
        <f t="shared" si="1"/>
        <v>Công ty cổ phần dược phẩm Hà Tây , Việt Nam</v>
      </c>
      <c r="N28" s="16" t="s">
        <v>276</v>
      </c>
      <c r="O28" s="7" t="s">
        <v>30</v>
      </c>
      <c r="P28" s="17"/>
      <c r="Q28" s="15"/>
      <c r="R28" s="11">
        <v>6900</v>
      </c>
      <c r="S28" s="15"/>
      <c r="T28" s="15"/>
      <c r="U28" s="15"/>
    </row>
    <row r="29" spans="1:21" ht="49.5" x14ac:dyDescent="0.25">
      <c r="A29" s="1">
        <v>28</v>
      </c>
      <c r="B29" s="2">
        <v>679</v>
      </c>
      <c r="C29" s="3">
        <v>4</v>
      </c>
      <c r="D29" s="4" t="s">
        <v>164</v>
      </c>
      <c r="E29" s="1" t="s">
        <v>165</v>
      </c>
      <c r="F29" s="5" t="s">
        <v>166</v>
      </c>
      <c r="G29" s="6" t="s">
        <v>167</v>
      </c>
      <c r="H29" s="6" t="str">
        <f t="shared" si="0"/>
        <v>Uống</v>
      </c>
      <c r="I29" s="7" t="s">
        <v>24</v>
      </c>
      <c r="J29" s="7" t="s">
        <v>168</v>
      </c>
      <c r="K29" s="8" t="s">
        <v>169</v>
      </c>
      <c r="L29" s="9" t="s">
        <v>97</v>
      </c>
      <c r="M29" s="10" t="str">
        <f t="shared" si="1"/>
        <v>Công ty cổ phần dược phẩm OP, Việt Nam</v>
      </c>
      <c r="N29" s="16" t="s">
        <v>277</v>
      </c>
      <c r="O29" s="7" t="s">
        <v>30</v>
      </c>
      <c r="P29" s="17"/>
      <c r="Q29" s="15"/>
      <c r="R29" s="11"/>
      <c r="S29" s="15"/>
      <c r="T29" s="15"/>
      <c r="U29" s="15"/>
    </row>
    <row r="30" spans="1:21" ht="33" x14ac:dyDescent="0.25">
      <c r="A30" s="1">
        <v>29</v>
      </c>
      <c r="B30" s="2">
        <v>949</v>
      </c>
      <c r="C30" s="3">
        <v>4</v>
      </c>
      <c r="D30" s="4" t="s">
        <v>136</v>
      </c>
      <c r="E30" s="1" t="s">
        <v>171</v>
      </c>
      <c r="F30" s="5" t="s">
        <v>172</v>
      </c>
      <c r="G30" s="6" t="s">
        <v>46</v>
      </c>
      <c r="H30" s="6" t="str">
        <f t="shared" si="0"/>
        <v>Uống</v>
      </c>
      <c r="I30" s="7" t="s">
        <v>173</v>
      </c>
      <c r="J30" s="7" t="s">
        <v>174</v>
      </c>
      <c r="K30" s="8" t="s">
        <v>175</v>
      </c>
      <c r="L30" s="9" t="s">
        <v>27</v>
      </c>
      <c r="M30" s="10" t="str">
        <f t="shared" si="1"/>
        <v>Công ty cổ phần dược phẩm OPV, Việt Nam</v>
      </c>
      <c r="N30" s="16" t="s">
        <v>170</v>
      </c>
      <c r="O30" s="7" t="s">
        <v>30</v>
      </c>
      <c r="P30" s="17"/>
      <c r="Q30" s="15"/>
      <c r="R30" s="11">
        <v>48000</v>
      </c>
      <c r="S30" s="15"/>
      <c r="T30" s="15"/>
      <c r="U30" s="15"/>
    </row>
    <row r="31" spans="1:21" ht="49.5" x14ac:dyDescent="0.25">
      <c r="A31" s="1">
        <v>30</v>
      </c>
      <c r="B31" s="2">
        <v>763</v>
      </c>
      <c r="C31" s="3">
        <v>4</v>
      </c>
      <c r="D31" s="4" t="s">
        <v>176</v>
      </c>
      <c r="E31" s="1" t="s">
        <v>177</v>
      </c>
      <c r="F31" s="5" t="s">
        <v>178</v>
      </c>
      <c r="G31" s="6" t="s">
        <v>80</v>
      </c>
      <c r="H31" s="6" t="str">
        <f t="shared" si="0"/>
        <v>Uống</v>
      </c>
      <c r="I31" s="7" t="s">
        <v>24</v>
      </c>
      <c r="J31" s="7" t="s">
        <v>179</v>
      </c>
      <c r="K31" s="8" t="s">
        <v>180</v>
      </c>
      <c r="L31" s="9" t="s">
        <v>27</v>
      </c>
      <c r="M31" s="10" t="str">
        <f t="shared" si="1"/>
        <v>Công ty Cổ phần Dược Trung Ương Mediplante, Việt Nam</v>
      </c>
      <c r="N31" s="16" t="s">
        <v>278</v>
      </c>
      <c r="O31" s="7" t="s">
        <v>30</v>
      </c>
      <c r="P31" s="17"/>
      <c r="Q31" s="15"/>
      <c r="R31" s="11">
        <v>10000</v>
      </c>
      <c r="S31" s="15"/>
      <c r="T31" s="15"/>
      <c r="U31" s="15"/>
    </row>
    <row r="32" spans="1:21" ht="33" x14ac:dyDescent="0.25">
      <c r="A32" s="1">
        <v>31</v>
      </c>
      <c r="B32" s="2">
        <v>778</v>
      </c>
      <c r="C32" s="3">
        <v>4</v>
      </c>
      <c r="D32" s="4" t="s">
        <v>181</v>
      </c>
      <c r="E32" s="1" t="s">
        <v>182</v>
      </c>
      <c r="F32" s="5" t="s">
        <v>183</v>
      </c>
      <c r="G32" s="6" t="s">
        <v>80</v>
      </c>
      <c r="H32" s="6" t="str">
        <f t="shared" si="0"/>
        <v>Uống</v>
      </c>
      <c r="I32" s="7" t="s">
        <v>24</v>
      </c>
      <c r="J32" s="7" t="s">
        <v>25</v>
      </c>
      <c r="K32" s="8" t="s">
        <v>184</v>
      </c>
      <c r="L32" s="9" t="s">
        <v>102</v>
      </c>
      <c r="M32" s="10" t="str">
        <f t="shared" si="1"/>
        <v>Công ty TNHH DRP Inter , Việt Nam</v>
      </c>
      <c r="N32" s="16" t="s">
        <v>279</v>
      </c>
      <c r="O32" s="7" t="s">
        <v>30</v>
      </c>
      <c r="P32" s="17"/>
      <c r="Q32" s="15"/>
      <c r="R32" s="11">
        <v>12000</v>
      </c>
      <c r="S32" s="15"/>
      <c r="T32" s="15"/>
      <c r="U32" s="15"/>
    </row>
    <row r="33" spans="1:21" ht="49.5" x14ac:dyDescent="0.25">
      <c r="A33" s="1">
        <v>32</v>
      </c>
      <c r="B33" s="2"/>
      <c r="C33" s="3">
        <v>4</v>
      </c>
      <c r="D33" s="4" t="s">
        <v>185</v>
      </c>
      <c r="E33" s="1" t="s">
        <v>186</v>
      </c>
      <c r="F33" s="5" t="s">
        <v>187</v>
      </c>
      <c r="G33" s="6" t="s">
        <v>46</v>
      </c>
      <c r="H33" s="6" t="str">
        <f t="shared" si="0"/>
        <v>Uống</v>
      </c>
      <c r="I33" s="7" t="s">
        <v>71</v>
      </c>
      <c r="J33" s="7" t="s">
        <v>188</v>
      </c>
      <c r="K33" s="8" t="s">
        <v>189</v>
      </c>
      <c r="L33" s="9" t="s">
        <v>27</v>
      </c>
      <c r="M33" s="10" t="str">
        <f t="shared" si="1"/>
        <v>Công ty Liên doanh Meyer-BPC, Việt Nam</v>
      </c>
      <c r="N33" s="16" t="s">
        <v>280</v>
      </c>
      <c r="O33" s="7" t="s">
        <v>30</v>
      </c>
      <c r="P33" s="17"/>
      <c r="Q33" s="15"/>
      <c r="R33" s="11">
        <v>130000</v>
      </c>
      <c r="S33" s="15"/>
      <c r="T33" s="15"/>
      <c r="U33" s="15"/>
    </row>
    <row r="34" spans="1:21" ht="49.5" x14ac:dyDescent="0.25">
      <c r="A34" s="1">
        <v>33</v>
      </c>
      <c r="B34" s="2">
        <v>181</v>
      </c>
      <c r="C34" s="3">
        <v>5</v>
      </c>
      <c r="D34" s="4" t="s">
        <v>190</v>
      </c>
      <c r="E34" s="1" t="s">
        <v>191</v>
      </c>
      <c r="F34" s="5" t="s">
        <v>192</v>
      </c>
      <c r="G34" s="6" t="s">
        <v>193</v>
      </c>
      <c r="H34" s="6" t="str">
        <f t="shared" si="0"/>
        <v>Uống</v>
      </c>
      <c r="I34" s="7" t="s">
        <v>173</v>
      </c>
      <c r="J34" s="7" t="s">
        <v>194</v>
      </c>
      <c r="K34" s="8" t="s">
        <v>251</v>
      </c>
      <c r="L34" s="9" t="s">
        <v>97</v>
      </c>
      <c r="M34" s="10" t="str">
        <f t="shared" si="1"/>
        <v>Maxim Pharmaceuticals Pvt. Ltd, Việt Nam</v>
      </c>
      <c r="N34" s="16" t="s">
        <v>252</v>
      </c>
      <c r="O34" s="7" t="s">
        <v>30</v>
      </c>
      <c r="P34" s="17"/>
      <c r="Q34" s="15"/>
      <c r="R34" s="11">
        <v>135000</v>
      </c>
      <c r="S34" s="15"/>
      <c r="T34" s="15"/>
      <c r="U34" s="15"/>
    </row>
    <row r="35" spans="1:21" ht="66" x14ac:dyDescent="0.25">
      <c r="A35" s="1">
        <v>34</v>
      </c>
      <c r="B35" s="2">
        <v>185</v>
      </c>
      <c r="C35" s="3">
        <v>2</v>
      </c>
      <c r="D35" s="4" t="s">
        <v>195</v>
      </c>
      <c r="E35" s="1" t="s">
        <v>196</v>
      </c>
      <c r="F35" s="5" t="s">
        <v>197</v>
      </c>
      <c r="G35" s="6" t="s">
        <v>198</v>
      </c>
      <c r="H35" s="6" t="str">
        <f t="shared" si="0"/>
        <v>Tiêm</v>
      </c>
      <c r="I35" s="7" t="s">
        <v>199</v>
      </c>
      <c r="J35" s="7" t="s">
        <v>200</v>
      </c>
      <c r="K35" s="8" t="s">
        <v>201</v>
      </c>
      <c r="L35" s="13" t="s">
        <v>97</v>
      </c>
      <c r="M35" s="10" t="str">
        <f t="shared" si="1"/>
        <v>Chi nhánh 3 - CTCPDP Imexpharm tại Bình Dương , Việt Nam</v>
      </c>
      <c r="N35" s="16" t="s">
        <v>281</v>
      </c>
      <c r="O35" s="7" t="s">
        <v>30</v>
      </c>
      <c r="P35" s="17"/>
      <c r="Q35" s="15"/>
      <c r="R35" s="11">
        <v>31700</v>
      </c>
      <c r="S35" s="15"/>
      <c r="T35" s="15"/>
      <c r="U35" s="15"/>
    </row>
    <row r="36" spans="1:21" ht="49.5" x14ac:dyDescent="0.25">
      <c r="A36" s="1">
        <v>35</v>
      </c>
      <c r="B36" s="2">
        <v>190</v>
      </c>
      <c r="C36" s="3">
        <v>4</v>
      </c>
      <c r="D36" s="4" t="s">
        <v>202</v>
      </c>
      <c r="E36" s="1" t="s">
        <v>203</v>
      </c>
      <c r="F36" s="5" t="s">
        <v>204</v>
      </c>
      <c r="G36" s="6" t="s">
        <v>198</v>
      </c>
      <c r="H36" s="6" t="str">
        <f t="shared" si="0"/>
        <v>Tiêm</v>
      </c>
      <c r="I36" s="7" t="s">
        <v>199</v>
      </c>
      <c r="J36" s="7" t="s">
        <v>205</v>
      </c>
      <c r="K36" s="8" t="s">
        <v>206</v>
      </c>
      <c r="L36" s="13" t="s">
        <v>27</v>
      </c>
      <c r="M36" s="10" t="str">
        <f t="shared" si="1"/>
        <v>Công ty Cổ phần Trust Farma Quốc tế, Việt Nam</v>
      </c>
      <c r="N36" s="16" t="s">
        <v>282</v>
      </c>
      <c r="O36" s="7" t="s">
        <v>30</v>
      </c>
      <c r="P36" s="17"/>
      <c r="Q36" s="15"/>
      <c r="R36" s="11">
        <v>52000</v>
      </c>
      <c r="S36" s="15"/>
      <c r="T36" s="15"/>
      <c r="U36" s="15"/>
    </row>
    <row r="37" spans="1:21" ht="49.5" x14ac:dyDescent="0.25">
      <c r="A37" s="1">
        <v>36</v>
      </c>
      <c r="B37" s="2">
        <v>652</v>
      </c>
      <c r="C37" s="3">
        <v>4</v>
      </c>
      <c r="D37" s="4" t="s">
        <v>207</v>
      </c>
      <c r="E37" s="1" t="s">
        <v>208</v>
      </c>
      <c r="F37" s="5" t="s">
        <v>209</v>
      </c>
      <c r="G37" s="6" t="s">
        <v>145</v>
      </c>
      <c r="H37" s="6" t="str">
        <f t="shared" si="0"/>
        <v>Tiêm</v>
      </c>
      <c r="I37" s="7" t="s">
        <v>199</v>
      </c>
      <c r="J37" s="7" t="s">
        <v>210</v>
      </c>
      <c r="K37" s="8" t="s">
        <v>211</v>
      </c>
      <c r="L37" s="13" t="s">
        <v>97</v>
      </c>
      <c r="M37" s="10" t="str">
        <f t="shared" si="1"/>
        <v>Công ty CPDP An Thiên, Việt Nam</v>
      </c>
      <c r="N37" s="16" t="s">
        <v>283</v>
      </c>
      <c r="O37" s="7" t="s">
        <v>30</v>
      </c>
      <c r="P37" s="17"/>
      <c r="Q37" s="15"/>
      <c r="R37" s="11">
        <v>510000</v>
      </c>
      <c r="S37" s="15"/>
      <c r="T37" s="15"/>
      <c r="U37" s="15"/>
    </row>
    <row r="38" spans="1:21" ht="33" x14ac:dyDescent="0.25">
      <c r="A38" s="1">
        <v>37</v>
      </c>
      <c r="B38" s="2">
        <v>593</v>
      </c>
      <c r="C38" s="3">
        <v>4</v>
      </c>
      <c r="D38" s="4" t="s">
        <v>212</v>
      </c>
      <c r="E38" s="1" t="s">
        <v>213</v>
      </c>
      <c r="F38" s="5" t="s">
        <v>214</v>
      </c>
      <c r="G38" s="6" t="s">
        <v>145</v>
      </c>
      <c r="H38" s="6" t="str">
        <f t="shared" si="0"/>
        <v>Tiêm</v>
      </c>
      <c r="I38" s="7" t="s">
        <v>199</v>
      </c>
      <c r="J38" s="7" t="s">
        <v>215</v>
      </c>
      <c r="K38" s="8" t="s">
        <v>216</v>
      </c>
      <c r="L38" s="13" t="s">
        <v>27</v>
      </c>
      <c r="M38" s="10" t="str">
        <f t="shared" si="1"/>
        <v>Công ty CPDP An Thiên, Việt Nam</v>
      </c>
      <c r="N38" s="16" t="s">
        <v>283</v>
      </c>
      <c r="O38" s="7" t="s">
        <v>30</v>
      </c>
      <c r="P38" s="17"/>
      <c r="Q38" s="15"/>
      <c r="R38" s="11">
        <v>270000</v>
      </c>
      <c r="S38" s="15"/>
      <c r="T38" s="15"/>
      <c r="U38" s="15"/>
    </row>
    <row r="39" spans="1:21" ht="33" x14ac:dyDescent="0.25">
      <c r="A39" s="1">
        <v>38</v>
      </c>
      <c r="B39" s="2">
        <v>533</v>
      </c>
      <c r="C39" s="3">
        <v>2</v>
      </c>
      <c r="D39" s="4" t="s">
        <v>217</v>
      </c>
      <c r="E39" s="1" t="s">
        <v>218</v>
      </c>
      <c r="F39" s="5" t="s">
        <v>219</v>
      </c>
      <c r="G39" s="6" t="s">
        <v>80</v>
      </c>
      <c r="H39" s="6" t="str">
        <f t="shared" si="0"/>
        <v>Uống</v>
      </c>
      <c r="I39" s="7" t="s">
        <v>220</v>
      </c>
      <c r="J39" s="7" t="s">
        <v>221</v>
      </c>
      <c r="K39" s="8" t="s">
        <v>222</v>
      </c>
      <c r="L39" s="13" t="s">
        <v>27</v>
      </c>
      <c r="M39" s="10" t="str">
        <f t="shared" si="1"/>
        <v>Aurobindo, India</v>
      </c>
      <c r="N39" s="16" t="s">
        <v>284</v>
      </c>
      <c r="O39" s="7" t="s">
        <v>248</v>
      </c>
      <c r="P39" s="17"/>
      <c r="Q39" s="15"/>
      <c r="R39" s="11">
        <v>2300</v>
      </c>
      <c r="S39" s="15"/>
      <c r="T39" s="15"/>
      <c r="U39" s="15"/>
    </row>
    <row r="40" spans="1:21" ht="49.5" x14ac:dyDescent="0.25">
      <c r="A40" s="1">
        <v>39</v>
      </c>
      <c r="B40" s="2">
        <v>872</v>
      </c>
      <c r="C40" s="3">
        <v>2</v>
      </c>
      <c r="D40" s="4" t="s">
        <v>223</v>
      </c>
      <c r="E40" s="1" t="s">
        <v>224</v>
      </c>
      <c r="F40" s="5" t="s">
        <v>225</v>
      </c>
      <c r="G40" s="6" t="s">
        <v>80</v>
      </c>
      <c r="H40" s="6" t="str">
        <f t="shared" si="0"/>
        <v>Uống</v>
      </c>
      <c r="I40" s="7" t="s">
        <v>220</v>
      </c>
      <c r="J40" s="7" t="s">
        <v>226</v>
      </c>
      <c r="K40" s="8" t="s">
        <v>227</v>
      </c>
      <c r="L40" s="13" t="s">
        <v>27</v>
      </c>
      <c r="M40" s="10" t="str">
        <f t="shared" si="1"/>
        <v>Gpax Pharmaceuticals
Private Limited, India</v>
      </c>
      <c r="N40" s="16" t="s">
        <v>285</v>
      </c>
      <c r="O40" s="7" t="s">
        <v>248</v>
      </c>
      <c r="P40" s="17"/>
      <c r="Q40" s="15"/>
      <c r="R40" s="11">
        <v>2373</v>
      </c>
      <c r="S40" s="15"/>
      <c r="T40" s="15"/>
      <c r="U40" s="15"/>
    </row>
    <row r="41" spans="1:21" ht="49.5" x14ac:dyDescent="0.25">
      <c r="A41" s="1">
        <v>40</v>
      </c>
      <c r="B41" s="2"/>
      <c r="C41" s="3">
        <v>4</v>
      </c>
      <c r="D41" s="4" t="s">
        <v>228</v>
      </c>
      <c r="E41" s="1" t="s">
        <v>229</v>
      </c>
      <c r="F41" s="5" t="s">
        <v>230</v>
      </c>
      <c r="G41" s="6" t="s">
        <v>122</v>
      </c>
      <c r="H41" s="6" t="str">
        <f>IFERROR(PROPER(TRIM(RIGHT(G41,LEN(G41)-FIND(",",G41,1)))),"Uống")</f>
        <v>Uống</v>
      </c>
      <c r="I41" s="7" t="s">
        <v>231</v>
      </c>
      <c r="J41" s="7" t="s">
        <v>232</v>
      </c>
      <c r="K41" s="8" t="s">
        <v>233</v>
      </c>
      <c r="L41" s="13"/>
      <c r="M41" s="10" t="str">
        <f t="shared" si="1"/>
        <v>Công ty TNHH Dược phẩm Hoa Linh Hà Nam, Việt Nam</v>
      </c>
      <c r="N41" s="16" t="s">
        <v>286</v>
      </c>
      <c r="O41" s="7" t="s">
        <v>30</v>
      </c>
      <c r="P41" s="17"/>
      <c r="Q41" s="15"/>
      <c r="R41" s="11">
        <v>3200</v>
      </c>
      <c r="S41" s="15"/>
      <c r="T41" s="15"/>
      <c r="U41" s="15"/>
    </row>
    <row r="42" spans="1:21" ht="33" x14ac:dyDescent="0.25">
      <c r="A42" s="1">
        <v>41</v>
      </c>
      <c r="B42" s="2">
        <v>969</v>
      </c>
      <c r="C42" s="3">
        <v>1</v>
      </c>
      <c r="D42" s="4" t="s">
        <v>234</v>
      </c>
      <c r="E42" s="1" t="s">
        <v>235</v>
      </c>
      <c r="F42" s="5" t="s">
        <v>236</v>
      </c>
      <c r="G42" s="6" t="s">
        <v>237</v>
      </c>
      <c r="H42" s="6" t="str">
        <f t="shared" ref="H42:H43" si="2">IFERROR(PROPER(TRIM(RIGHT(G42,LEN(G42)-FIND(",",G42,1)))),"Uống")</f>
        <v>Uống</v>
      </c>
      <c r="I42" s="7" t="s">
        <v>220</v>
      </c>
      <c r="J42" s="7" t="s">
        <v>58</v>
      </c>
      <c r="K42" s="8" t="s">
        <v>238</v>
      </c>
      <c r="L42" s="13" t="s">
        <v>27</v>
      </c>
      <c r="M42" s="10" t="str">
        <f t="shared" si="1"/>
        <v>Arena Group S.A, Romania</v>
      </c>
      <c r="N42" s="16" t="s">
        <v>287</v>
      </c>
      <c r="O42" s="7" t="s">
        <v>250</v>
      </c>
      <c r="P42" s="17"/>
      <c r="Q42" s="15"/>
      <c r="R42" s="11">
        <v>2000</v>
      </c>
      <c r="S42" s="15"/>
      <c r="T42" s="15"/>
      <c r="U42" s="15"/>
    </row>
    <row r="43" spans="1:21" ht="49.5" x14ac:dyDescent="0.25">
      <c r="A43" s="1">
        <v>42</v>
      </c>
      <c r="B43" s="2">
        <v>739</v>
      </c>
      <c r="C43" s="3">
        <v>4</v>
      </c>
      <c r="D43" s="4" t="s">
        <v>239</v>
      </c>
      <c r="E43" s="1" t="s">
        <v>240</v>
      </c>
      <c r="F43" s="5" t="s">
        <v>241</v>
      </c>
      <c r="G43" s="6" t="s">
        <v>242</v>
      </c>
      <c r="H43" s="6" t="str">
        <f t="shared" si="2"/>
        <v>Uống</v>
      </c>
      <c r="I43" s="7" t="s">
        <v>220</v>
      </c>
      <c r="J43" s="7" t="s">
        <v>58</v>
      </c>
      <c r="K43" s="8" t="s">
        <v>243</v>
      </c>
      <c r="L43" s="13" t="s">
        <v>27</v>
      </c>
      <c r="M43" s="10" t="str">
        <f t="shared" si="1"/>
        <v>Công ty TNHH Dược phẩm Hoa Linh Hà Nam, Việt Nam</v>
      </c>
      <c r="N43" s="16" t="s">
        <v>286</v>
      </c>
      <c r="O43" s="7" t="s">
        <v>30</v>
      </c>
      <c r="P43" s="17"/>
      <c r="Q43" s="15"/>
      <c r="R43" s="11">
        <v>3200</v>
      </c>
      <c r="S43" s="15"/>
      <c r="T43" s="15"/>
      <c r="U43" s="15"/>
    </row>
  </sheetData>
  <dataValidations count="1">
    <dataValidation type="decimal" showErrorMessage="1" errorTitle="Lưu ý" error="Nhập số lớn hơn 0 và nhỏ hơn 1,000,000,000,000,000" promptTitle="Lưu ý" prompt="Nhập số lớn hơn 0 và nhỏ hơn 1,000,000,000,000,000" sqref="R17 R13:R15 R5 R21:R22" xr:uid="{31226BBA-55F6-431E-A729-35BEDF2E0090}">
      <formula1>0.0001</formula1>
      <formula2>1000000000000000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Mau_Ho_So_SanPham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Ngọc Vân Từ</cp:lastModifiedBy>
  <dcterms:created xsi:type="dcterms:W3CDTF">2026-05-21T08:09:52Z</dcterms:created>
  <dcterms:modified xsi:type="dcterms:W3CDTF">2026-05-22T02:31:46Z</dcterms:modified>
</cp:coreProperties>
</file>